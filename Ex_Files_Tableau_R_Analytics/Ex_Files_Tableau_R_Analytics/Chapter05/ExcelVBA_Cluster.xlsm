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1a0811fe65b4585/Dokumen/LinkedIn/Tableau and R for Analytics Projects/Ex_Files_Tableau_R_Analytics/Ex_Files_Tableau_R_Analytics/Chapter05/"/>
    </mc:Choice>
  </mc:AlternateContent>
  <xr:revisionPtr revIDLastSave="2" documentId="13_ncr:1_{3CAC41AF-C7CF-4B16-9DFF-FA3A174080BC}" xr6:coauthVersionLast="47" xr6:coauthVersionMax="47" xr10:uidLastSave="{BC9B9E9A-9369-4906-AED4-6240D4470C03}"/>
  <bookViews>
    <workbookView xWindow="-110" yWindow="-110" windowWidth="19420" windowHeight="104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3" i="1" l="1"/>
  <c r="L3" i="1"/>
  <c r="C14" i="1"/>
  <c r="C17" i="1"/>
  <c r="C5" i="1"/>
  <c r="C16" i="1"/>
  <c r="C10" i="1"/>
  <c r="C7" i="1"/>
  <c r="C4" i="1"/>
  <c r="C13" i="1"/>
  <c r="C8" i="1"/>
  <c r="C9" i="1"/>
  <c r="C15" i="1"/>
  <c r="C6" i="1"/>
  <c r="C11" i="1"/>
  <c r="C3" i="1"/>
  <c r="C12" i="1"/>
  <c r="D5" i="1"/>
  <c r="D17" i="1"/>
  <c r="D16" i="1"/>
  <c r="D6" i="1"/>
  <c r="D14" i="1"/>
  <c r="D10" i="1"/>
  <c r="D7" i="1"/>
  <c r="D12" i="1"/>
  <c r="D15" i="1"/>
  <c r="D8" i="1"/>
  <c r="D9" i="1"/>
  <c r="D13" i="1"/>
  <c r="D11" i="1"/>
  <c r="D4" i="1"/>
  <c r="E12" i="1"/>
  <c r="E11" i="1"/>
  <c r="E5" i="1"/>
  <c r="E13" i="1"/>
  <c r="E17" i="1"/>
  <c r="E14" i="1"/>
  <c r="E4" i="1"/>
  <c r="E6" i="1"/>
  <c r="E9" i="1"/>
  <c r="E7" i="1"/>
  <c r="E8" i="1"/>
  <c r="E16" i="1"/>
  <c r="E3" i="1"/>
  <c r="E10" i="1"/>
  <c r="D3" i="1"/>
  <c r="E15" i="1"/>
  <c r="F13" i="1" l="1"/>
  <c r="F12" i="1"/>
  <c r="F16" i="1"/>
  <c r="F3" i="1"/>
  <c r="F9" i="1"/>
  <c r="F4" i="1"/>
  <c r="F10" i="1"/>
  <c r="F15" i="1"/>
  <c r="F11" i="1"/>
  <c r="F8" i="1"/>
  <c r="F14" i="1"/>
  <c r="F5" i="1"/>
  <c r="F6" i="1"/>
  <c r="F7" i="1"/>
  <c r="F17" i="1"/>
  <c r="L7" i="1" l="1"/>
  <c r="L8" i="1"/>
  <c r="M8" i="1"/>
  <c r="M7" i="1"/>
  <c r="L6" i="1"/>
  <c r="M6" i="1"/>
</calcChain>
</file>

<file path=xl/sharedStrings.xml><?xml version="1.0" encoding="utf-8"?>
<sst xmlns="http://schemas.openxmlformats.org/spreadsheetml/2006/main" count="12" uniqueCount="12">
  <si>
    <t>X_Axis</t>
  </si>
  <si>
    <t>Y_Axis</t>
  </si>
  <si>
    <t>Dist_C1</t>
  </si>
  <si>
    <t>Dist_C2</t>
  </si>
  <si>
    <t>Dist_C3</t>
  </si>
  <si>
    <t>Centroid</t>
  </si>
  <si>
    <t>C_Number</t>
  </si>
  <si>
    <t>C_Field1</t>
  </si>
  <si>
    <t>C_Field2</t>
  </si>
  <si>
    <t>MAX X_Axis</t>
  </si>
  <si>
    <t>MAX Y_Axis</t>
  </si>
  <si>
    <t>Centroid Updates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</si>
</sst>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Font="1"/>
    <xf numFmtId="0" fontId="0" fillId="0" borderId="0" xfId="0" applyFont="1" applyFill="1"/>
    <xf numFmtId="0" fontId="0" fillId="0" borderId="0" xfId="0" applyFill="1"/>
    <xf numFmtId="0" fontId="1" fillId="0" borderId="0" xfId="0" applyFont="1"/>
  </cellXfs>
  <cellStyles count="1">
    <cellStyle name="Normal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Y_Axis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76200">
                <a:solidFill>
                  <a:schemeClr val="accent1"/>
                </a:solidFill>
              </a:ln>
              <a:effectLst/>
            </c:spPr>
          </c:marker>
          <c:xVal>
            <c:numRef>
              <c:f>Sheet1!$A$3:$A$17</c:f>
              <c:numCache>
                <c:formatCode>General</c:formatCode>
                <c:ptCount val="15"/>
                <c:pt idx="0">
                  <c:v>5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21</c:v>
                </c:pt>
                <c:pt idx="11">
                  <c:v>22</c:v>
                </c:pt>
                <c:pt idx="12">
                  <c:v>23</c:v>
                </c:pt>
                <c:pt idx="13">
                  <c:v>24</c:v>
                </c:pt>
                <c:pt idx="14">
                  <c:v>25</c:v>
                </c:pt>
              </c:numCache>
            </c:numRef>
          </c:xVal>
          <c:yVal>
            <c:numRef>
              <c:f>Sheet1!$B$3:$B$17</c:f>
              <c:numCache>
                <c:formatCode>General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4</c:v>
                </c:pt>
                <c:pt idx="4">
                  <c:v>1</c:v>
                </c:pt>
                <c:pt idx="5">
                  <c:v>7</c:v>
                </c:pt>
                <c:pt idx="6">
                  <c:v>8</c:v>
                </c:pt>
                <c:pt idx="7">
                  <c:v>5</c:v>
                </c:pt>
                <c:pt idx="8">
                  <c:v>6</c:v>
                </c:pt>
                <c:pt idx="9">
                  <c:v>9</c:v>
                </c:pt>
                <c:pt idx="10">
                  <c:v>12</c:v>
                </c:pt>
                <c:pt idx="11">
                  <c:v>14</c:v>
                </c:pt>
                <c:pt idx="12">
                  <c:v>15</c:v>
                </c:pt>
                <c:pt idx="13">
                  <c:v>11</c:v>
                </c:pt>
                <c:pt idx="14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FF-4AF2-9E6A-B89E54DCDCC5}"/>
            </c:ext>
          </c:extLst>
        </c:ser>
        <c:ser>
          <c:idx val="1"/>
          <c:order val="1"/>
          <c:tx>
            <c:v>Centroids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82550">
                <a:solidFill>
                  <a:schemeClr val="accent2"/>
                </a:solidFill>
              </a:ln>
              <a:effectLst/>
            </c:spPr>
          </c:marker>
          <c:xVal>
            <c:numRef>
              <c:f>Sheet1!$I$3:$I$5</c:f>
              <c:numCache>
                <c:formatCode>General</c:formatCode>
                <c:ptCount val="3"/>
                <c:pt idx="0">
                  <c:v>5.2857142857142856</c:v>
                </c:pt>
                <c:pt idx="1">
                  <c:v>12.666666666666666</c:v>
                </c:pt>
                <c:pt idx="2">
                  <c:v>23</c:v>
                </c:pt>
              </c:numCache>
            </c:numRef>
          </c:xVal>
          <c:yVal>
            <c:numRef>
              <c:f>Sheet1!$J$3:$J$5</c:f>
              <c:numCache>
                <c:formatCode>General</c:formatCode>
                <c:ptCount val="3"/>
                <c:pt idx="0">
                  <c:v>4.1428571428571432</c:v>
                </c:pt>
                <c:pt idx="1">
                  <c:v>7.666666666666667</c:v>
                </c:pt>
                <c:pt idx="2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FF-4AF2-9E6A-B89E54DCD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635496"/>
        <c:axId val="236637064"/>
      </c:scatterChart>
      <c:valAx>
        <c:axId val="236635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37064"/>
        <c:crosses val="autoZero"/>
        <c:crossBetween val="midCat"/>
      </c:valAx>
      <c:valAx>
        <c:axId val="23663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35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352425</xdr:colOff>
      <xdr:row>7</xdr:row>
      <xdr:rowOff>171450</xdr:rowOff>
    </xdr:from>
    <xdr:to>
      <xdr:col>9</xdr:col>
      <xdr:colOff>28575</xdr:colOff>
      <xdr:row>9</xdr:row>
      <xdr:rowOff>104775</xdr:rowOff>
    </xdr:to>
    <xdr:sp macro="[0]!UpdateCentroid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848225" y="1504950"/>
          <a:ext cx="1228725" cy="31432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Centroids</a:t>
          </a:r>
        </a:p>
      </xdr:txBody>
    </xdr:sp>
    <xdr:clientData/>
  </xdr:twoCellAnchor>
  <xdr:twoCellAnchor>
    <xdr:from>
      <xdr:col>6</xdr:col>
      <xdr:colOff>133349</xdr:colOff>
      <xdr:row>9</xdr:row>
      <xdr:rowOff>180974</xdr:rowOff>
    </xdr:from>
    <xdr:to>
      <xdr:col>19</xdr:col>
      <xdr:colOff>228599</xdr:colOff>
      <xdr:row>36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ainTable" displayName="MainTable" ref="A2:F17" totalsRowShown="0">
  <autoFilter ref="A2:F17" xr:uid="{00000000-0009-0000-0100-000001000000}"/>
  <tableColumns count="6">
    <tableColumn id="1" xr3:uid="{00000000-0010-0000-0000-000001000000}" name="X_Axis"/>
    <tableColumn id="2" xr3:uid="{00000000-0010-0000-0000-000002000000}" name="Y_Axis" dataDxfId="6"/>
    <tableColumn id="3" xr3:uid="{00000000-0010-0000-0000-000003000000}" name="Dist_C1" dataDxfId="5">
      <calculatedColumnFormula>SQRT((A3-$I$3)^2+(B3-$J$3)^2)</calculatedColumnFormula>
    </tableColumn>
    <tableColumn id="4" xr3:uid="{00000000-0010-0000-0000-000004000000}" name="Dist_C2" dataDxfId="4">
      <calculatedColumnFormula>SQRT((A3-$I$4)^2+(B3-$J$4)^2)</calculatedColumnFormula>
    </tableColumn>
    <tableColumn id="5" xr3:uid="{00000000-0010-0000-0000-000005000000}" name="Dist_C3" dataDxfId="3">
      <calculatedColumnFormula>SQRT((A3-$I$5)^2+(B3-$J$5)^2)</calculatedColumnFormula>
    </tableColumn>
    <tableColumn id="6" xr3:uid="{00000000-0010-0000-0000-000006000000}" name="Centroid" dataDxfId="2">
      <calculatedColumnFormula>IF(C3=MIN(C3:E3),1,IF(D3=MIN(C3:E3),2,3))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entroidsTable" displayName="CentroidsTable" ref="H2:J5" totalsRowShown="0">
  <autoFilter ref="H2:J5" xr:uid="{00000000-0009-0000-0100-000002000000}"/>
  <tableColumns count="3">
    <tableColumn id="1" xr3:uid="{00000000-0010-0000-0100-000001000000}" name="C_Number"/>
    <tableColumn id="2" xr3:uid="{00000000-0010-0000-0100-000002000000}" name="C_Field1" dataDxfId="1"/>
    <tableColumn id="3" xr3:uid="{00000000-0010-0000-0100-000003000000}" name="C_Field2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7"/>
  <sheetViews>
    <sheetView tabSelected="1" zoomScale="85" zoomScaleNormal="85" workbookViewId="0">
      <selection activeCell="J7" sqref="J7"/>
    </sheetView>
  </sheetViews>
  <sheetFormatPr defaultRowHeight="14.5" x14ac:dyDescent="0.35"/>
  <cols>
    <col min="3" max="5" width="9.7265625" customWidth="1"/>
    <col min="6" max="6" width="10.81640625" customWidth="1"/>
    <col min="8" max="8" width="12.54296875" customWidth="1"/>
    <col min="9" max="10" width="10.7265625" customWidth="1"/>
    <col min="12" max="12" width="11.54296875" bestFit="1" customWidth="1"/>
  </cols>
  <sheetData>
    <row r="1" spans="1:13" ht="5.25" customHeight="1" x14ac:dyDescent="0.35"/>
    <row r="2" spans="1:13" x14ac:dyDescent="0.3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H2" t="s">
        <v>6</v>
      </c>
      <c r="I2" t="s">
        <v>7</v>
      </c>
      <c r="J2" t="s">
        <v>8</v>
      </c>
      <c r="L2" s="4" t="s">
        <v>9</v>
      </c>
      <c r="M2" s="4" t="s">
        <v>10</v>
      </c>
    </row>
    <row r="3" spans="1:13" x14ac:dyDescent="0.35">
      <c r="A3" s="1">
        <v>5</v>
      </c>
      <c r="B3" s="2">
        <v>3</v>
      </c>
      <c r="C3">
        <f t="shared" ref="C3:C17" si="0">SQRT((A3-$I$3)^2+(B3-$J$3)^2)</f>
        <v>1.1780301787479033</v>
      </c>
      <c r="D3">
        <f t="shared" ref="D3:D17" si="1">SQRT((A3-$I$4)^2+(B3-$J$4)^2)</f>
        <v>8.9752746785575059</v>
      </c>
      <c r="E3">
        <f t="shared" ref="E3:E17" si="2">SQRT((A3-$I$5)^2+(B3-$J$5)^2)</f>
        <v>20.591260281974002</v>
      </c>
      <c r="F3">
        <f t="shared" ref="F3:F17" si="3">IF(C3=MIN(C3:E3),1,IF(D3=MIN(C3:E3),2,3))</f>
        <v>1</v>
      </c>
      <c r="H3">
        <v>1</v>
      </c>
      <c r="I3">
        <v>5.2857142857142856</v>
      </c>
      <c r="J3">
        <v>4.1428571428571432</v>
      </c>
      <c r="L3">
        <f>MAX(MainTable[X_Axis])</f>
        <v>25</v>
      </c>
      <c r="M3">
        <f>MAX(MainTable[Y_Axis])</f>
        <v>15</v>
      </c>
    </row>
    <row r="4" spans="1:13" x14ac:dyDescent="0.35">
      <c r="A4">
        <v>4</v>
      </c>
      <c r="B4" s="3">
        <v>4</v>
      </c>
      <c r="C4">
        <f t="shared" si="0"/>
        <v>1.293626448305345</v>
      </c>
      <c r="D4">
        <f t="shared" si="1"/>
        <v>9.4103961423287359</v>
      </c>
      <c r="E4">
        <f t="shared" si="2"/>
        <v>21.023796041628639</v>
      </c>
      <c r="F4">
        <f t="shared" si="3"/>
        <v>1</v>
      </c>
      <c r="H4">
        <v>2</v>
      </c>
      <c r="I4">
        <v>12.666666666666666</v>
      </c>
      <c r="J4">
        <v>7.666666666666667</v>
      </c>
    </row>
    <row r="5" spans="1:13" x14ac:dyDescent="0.35">
      <c r="A5">
        <v>2</v>
      </c>
      <c r="B5" s="3">
        <v>5</v>
      </c>
      <c r="C5">
        <f t="shared" si="0"/>
        <v>3.3956755211442036</v>
      </c>
      <c r="D5">
        <f t="shared" si="1"/>
        <v>10.994948334980428</v>
      </c>
      <c r="E5">
        <f t="shared" si="2"/>
        <v>22.472205054244231</v>
      </c>
      <c r="F5">
        <f t="shared" si="3"/>
        <v>1</v>
      </c>
      <c r="H5">
        <v>3</v>
      </c>
      <c r="I5">
        <v>23</v>
      </c>
      <c r="J5">
        <v>13</v>
      </c>
      <c r="L5" s="4" t="s">
        <v>11</v>
      </c>
    </row>
    <row r="6" spans="1:13" x14ac:dyDescent="0.35">
      <c r="A6">
        <v>1</v>
      </c>
      <c r="B6" s="3">
        <v>4</v>
      </c>
      <c r="C6">
        <f t="shared" si="0"/>
        <v>4.2880945770867527</v>
      </c>
      <c r="D6">
        <f t="shared" si="1"/>
        <v>12.229290885229426</v>
      </c>
      <c r="E6">
        <f t="shared" si="2"/>
        <v>23.769728648009426</v>
      </c>
      <c r="F6">
        <f t="shared" si="3"/>
        <v>1</v>
      </c>
      <c r="K6">
        <v>1</v>
      </c>
      <c r="L6">
        <f>AVERAGEIF(MainTable[Centroid],$H3,MainTable[X_Axis])</f>
        <v>3</v>
      </c>
      <c r="M6">
        <f>AVERAGEIF(MainTable[Centroid],$H3,MainTable[Y_Axis])</f>
        <v>3.4</v>
      </c>
    </row>
    <row r="7" spans="1:13" x14ac:dyDescent="0.35">
      <c r="A7">
        <v>3</v>
      </c>
      <c r="B7" s="3">
        <v>1</v>
      </c>
      <c r="C7">
        <f t="shared" si="0"/>
        <v>3.8861344310672696</v>
      </c>
      <c r="D7">
        <f t="shared" si="1"/>
        <v>11.742609969205692</v>
      </c>
      <c r="E7">
        <f t="shared" si="2"/>
        <v>23.323807579381203</v>
      </c>
      <c r="F7">
        <f t="shared" si="3"/>
        <v>1</v>
      </c>
      <c r="K7">
        <v>2</v>
      </c>
      <c r="L7">
        <f>AVERAGEIF(MainTable[Centroid],$H4,MainTable[X_Axis])</f>
        <v>12</v>
      </c>
      <c r="M7">
        <f>AVERAGEIF(MainTable[Centroid],$H4,MainTable[Y_Axis])</f>
        <v>7</v>
      </c>
    </row>
    <row r="8" spans="1:13" x14ac:dyDescent="0.35">
      <c r="A8">
        <v>10</v>
      </c>
      <c r="B8" s="3">
        <v>7</v>
      </c>
      <c r="C8">
        <f t="shared" si="0"/>
        <v>5.5125089661642113</v>
      </c>
      <c r="D8">
        <f t="shared" si="1"/>
        <v>2.7487370837451066</v>
      </c>
      <c r="E8">
        <f t="shared" si="2"/>
        <v>14.317821063276353</v>
      </c>
      <c r="F8">
        <f t="shared" si="3"/>
        <v>2</v>
      </c>
      <c r="K8">
        <v>3</v>
      </c>
      <c r="L8">
        <f>AVERAGEIF(MainTable[Centroid],$H5,MainTable[X_Axis])</f>
        <v>23</v>
      </c>
      <c r="M8">
        <f>AVERAGEIF(MainTable[Centroid],$H5,MainTable[Y_Axis])</f>
        <v>13</v>
      </c>
    </row>
    <row r="9" spans="1:13" x14ac:dyDescent="0.35">
      <c r="A9">
        <v>11</v>
      </c>
      <c r="B9" s="3">
        <v>8</v>
      </c>
      <c r="C9">
        <f t="shared" si="0"/>
        <v>6.8942448640078018</v>
      </c>
      <c r="D9">
        <f t="shared" si="1"/>
        <v>1.6996731711975943</v>
      </c>
      <c r="E9">
        <f t="shared" si="2"/>
        <v>13</v>
      </c>
      <c r="F9">
        <f t="shared" si="3"/>
        <v>2</v>
      </c>
    </row>
    <row r="10" spans="1:13" x14ac:dyDescent="0.35">
      <c r="A10">
        <v>12</v>
      </c>
      <c r="B10" s="3">
        <v>5</v>
      </c>
      <c r="C10">
        <f t="shared" si="0"/>
        <v>6.7687758517040759</v>
      </c>
      <c r="D10">
        <f t="shared" si="1"/>
        <v>2.7487370837451071</v>
      </c>
      <c r="E10">
        <f t="shared" si="2"/>
        <v>13.601470508735444</v>
      </c>
      <c r="F10">
        <f t="shared" si="3"/>
        <v>2</v>
      </c>
    </row>
    <row r="11" spans="1:13" x14ac:dyDescent="0.35">
      <c r="A11">
        <v>13</v>
      </c>
      <c r="B11" s="3">
        <v>6</v>
      </c>
      <c r="C11">
        <f t="shared" si="0"/>
        <v>7.9346823297136089</v>
      </c>
      <c r="D11">
        <f t="shared" si="1"/>
        <v>1.6996731711975954</v>
      </c>
      <c r="E11">
        <f t="shared" si="2"/>
        <v>12.206555615733702</v>
      </c>
      <c r="F11">
        <f t="shared" si="3"/>
        <v>2</v>
      </c>
    </row>
    <row r="12" spans="1:13" x14ac:dyDescent="0.35">
      <c r="A12">
        <v>14</v>
      </c>
      <c r="B12" s="3">
        <v>9</v>
      </c>
      <c r="C12">
        <f t="shared" si="0"/>
        <v>9.9765030068104501</v>
      </c>
      <c r="D12">
        <f t="shared" si="1"/>
        <v>1.8856180831641269</v>
      </c>
      <c r="E12">
        <f t="shared" si="2"/>
        <v>9.8488578017961039</v>
      </c>
      <c r="F12">
        <f t="shared" si="3"/>
        <v>2</v>
      </c>
    </row>
    <row r="13" spans="1:13" x14ac:dyDescent="0.35">
      <c r="A13">
        <v>21</v>
      </c>
      <c r="B13" s="3">
        <v>12</v>
      </c>
      <c r="C13">
        <f t="shared" si="0"/>
        <v>17.569105537498348</v>
      </c>
      <c r="D13">
        <f t="shared" si="1"/>
        <v>9.3926685357369148</v>
      </c>
      <c r="E13">
        <f t="shared" si="2"/>
        <v>2.2360679774997898</v>
      </c>
      <c r="F13">
        <f t="shared" si="3"/>
        <v>3</v>
      </c>
    </row>
    <row r="14" spans="1:13" x14ac:dyDescent="0.35">
      <c r="A14">
        <v>22</v>
      </c>
      <c r="B14" s="3">
        <v>14</v>
      </c>
      <c r="C14">
        <f t="shared" si="0"/>
        <v>19.404396724580181</v>
      </c>
      <c r="D14">
        <f t="shared" si="1"/>
        <v>11.279282877125754</v>
      </c>
      <c r="E14">
        <f t="shared" si="2"/>
        <v>1.4142135623730951</v>
      </c>
      <c r="F14">
        <f t="shared" si="3"/>
        <v>3</v>
      </c>
    </row>
    <row r="15" spans="1:13" x14ac:dyDescent="0.35">
      <c r="A15">
        <v>23</v>
      </c>
      <c r="B15" s="3">
        <v>15</v>
      </c>
      <c r="C15">
        <f t="shared" si="0"/>
        <v>20.776753100226109</v>
      </c>
      <c r="D15">
        <f t="shared" si="1"/>
        <v>12.671051872498808</v>
      </c>
      <c r="E15">
        <f t="shared" si="2"/>
        <v>2</v>
      </c>
      <c r="F15">
        <f t="shared" si="3"/>
        <v>3</v>
      </c>
    </row>
    <row r="16" spans="1:13" x14ac:dyDescent="0.35">
      <c r="A16">
        <v>24</v>
      </c>
      <c r="B16" s="3">
        <v>11</v>
      </c>
      <c r="C16">
        <f t="shared" si="0"/>
        <v>19.93100343583292</v>
      </c>
      <c r="D16">
        <f t="shared" si="1"/>
        <v>11.813363431112901</v>
      </c>
      <c r="E16">
        <f t="shared" si="2"/>
        <v>2.2360679774997898</v>
      </c>
      <c r="F16">
        <f t="shared" si="3"/>
        <v>3</v>
      </c>
    </row>
    <row r="17" spans="1:6" x14ac:dyDescent="0.35">
      <c r="A17">
        <v>25</v>
      </c>
      <c r="B17" s="3">
        <v>13</v>
      </c>
      <c r="C17">
        <f t="shared" si="0"/>
        <v>21.612543598945649</v>
      </c>
      <c r="D17">
        <f t="shared" si="1"/>
        <v>13.437096247164249</v>
      </c>
      <c r="E17">
        <f t="shared" si="2"/>
        <v>2</v>
      </c>
      <c r="F17">
        <f t="shared" si="3"/>
        <v>3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Muhammad Rizky Ashari</cp:lastModifiedBy>
  <dcterms:created xsi:type="dcterms:W3CDTF">2014-01-17T04:30:53Z</dcterms:created>
  <dcterms:modified xsi:type="dcterms:W3CDTF">2022-04-17T04:43:52Z</dcterms:modified>
</cp:coreProperties>
</file>